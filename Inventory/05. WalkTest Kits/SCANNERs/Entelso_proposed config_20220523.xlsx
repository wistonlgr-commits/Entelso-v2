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elsocom.sharepoint.com/sites/GENERALADMIN/Shared Documents/03. INVENTORY/01. RF/05. WalkTest Kits/2_SCANNERs/"/>
    </mc:Choice>
  </mc:AlternateContent>
  <xr:revisionPtr revIDLastSave="15" documentId="13_ncr:1_{86A08B1B-21B8-644D-A748-5408F1359C9A}" xr6:coauthVersionLast="47" xr6:coauthVersionMax="47" xr10:uidLastSave="{EAA6E109-4C83-494E-A34A-AA14F8357DC0}"/>
  <bookViews>
    <workbookView xWindow="-108" yWindow="-108" windowWidth="23256" windowHeight="12456" activeTab="2" xr2:uid="{2A7E68BC-62F9-471D-A929-8D49FA015A72}"/>
  </bookViews>
  <sheets>
    <sheet name="工作表1" sheetId="1" r:id="rId1"/>
    <sheet name="Sheet1" sheetId="2" r:id="rId2"/>
    <sheet name="CALIBR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10" i="1"/>
  <c r="K11" i="1"/>
  <c r="K12" i="1"/>
  <c r="K13" i="1"/>
  <c r="K14" i="1"/>
  <c r="K15" i="1"/>
  <c r="K16" i="1"/>
  <c r="K20" i="1"/>
  <c r="K21" i="1"/>
  <c r="K22" i="1"/>
  <c r="K23" i="1"/>
  <c r="K24" i="1"/>
  <c r="K25" i="1"/>
  <c r="K29" i="1"/>
  <c r="K30" i="1"/>
  <c r="K31" i="1"/>
  <c r="K32" i="1"/>
  <c r="K33" i="1"/>
  <c r="K34" i="1"/>
  <c r="K35" i="1"/>
  <c r="K39" i="1"/>
  <c r="K40" i="1"/>
  <c r="K41" i="1"/>
  <c r="K42" i="1"/>
  <c r="K43" i="1"/>
  <c r="K2" i="1"/>
  <c r="K7" i="1" l="1"/>
  <c r="K17" i="1"/>
  <c r="K44" i="1"/>
  <c r="K26" i="1"/>
  <c r="K36" i="1"/>
  <c r="K46" i="1" l="1"/>
</calcChain>
</file>

<file path=xl/sharedStrings.xml><?xml version="1.0" encoding="utf-8"?>
<sst xmlns="http://schemas.openxmlformats.org/spreadsheetml/2006/main" count="207" uniqueCount="87">
  <si>
    <t>S/N</t>
  </si>
  <si>
    <t>Model</t>
  </si>
  <si>
    <t>Customer</t>
  </si>
  <si>
    <t>SO</t>
  </si>
  <si>
    <t>Config</t>
  </si>
  <si>
    <t xml:space="preserve">Proposed </t>
  </si>
  <si>
    <t>Qty</t>
  </si>
  <si>
    <t>Note</t>
  </si>
  <si>
    <t>Price</t>
  </si>
  <si>
    <t>Total Price</t>
  </si>
  <si>
    <t>ENTELSO BLACK</t>
  </si>
  <si>
    <t>8190-7005</t>
  </si>
  <si>
    <t>08900S-02</t>
  </si>
  <si>
    <t>Entelso</t>
  </si>
  <si>
    <r>
      <t xml:space="preserve">570-3.8GHz, </t>
    </r>
    <r>
      <rPr>
        <sz val="12"/>
        <color rgb="FFFF0000"/>
        <rFont val="Calibri"/>
        <family val="2"/>
        <scheme val="minor"/>
      </rPr>
      <t>super-config</t>
    </r>
  </si>
  <si>
    <t>08902S-E-U2</t>
  </si>
  <si>
    <t>Upgrade Existing IBflex 08900/08902 to 08902S-E (IBflex Super Configuration (570 MHz -3.8 GHz includes 10 MHz - 6 GHz and Band Support, GSM, WCDMA, CDMA, TD-LTE, FD-LTE, Wi-Fi, does not include any SW options or 5G NR Technologies) Bundle</t>
  </si>
  <si>
    <t>Hardware upgrade</t>
  </si>
  <si>
    <t>SENT TO REPAIR</t>
  </si>
  <si>
    <t>Purchase Date</t>
  </si>
  <si>
    <t>Warranty Expire</t>
  </si>
  <si>
    <t>OP524-NR</t>
  </si>
  <si>
    <t>3GPP 5G NR Technology Option</t>
  </si>
  <si>
    <t>OP524-DSS</t>
  </si>
  <si>
    <t>4G LTE - 5G NR Dynamic Spectrum Sharing Option</t>
  </si>
  <si>
    <t>Included</t>
  </si>
  <si>
    <t>OP294</t>
  </si>
  <si>
    <t>ANT, 600 MHz - 10 GHz Multi-Band Mag Mount, High Performance, 12'</t>
  </si>
  <si>
    <t>OPS137</t>
  </si>
  <si>
    <t xml:space="preserve">    Full Calibration,  IBflex Receiver  (2 year calibration)</t>
  </si>
  <si>
    <t>ENTELSO</t>
  </si>
  <si>
    <t>8150-1040</t>
  </si>
  <si>
    <t>08900G</t>
  </si>
  <si>
    <t>LatLon</t>
  </si>
  <si>
    <r>
      <t>3.8Ghz platform</t>
    </r>
    <r>
      <rPr>
        <sz val="12"/>
        <color rgb="FFFF0000"/>
        <rFont val="Calibri"/>
        <family val="2"/>
        <scheme val="minor"/>
      </rPr>
      <t xml:space="preserve"> super-config</t>
    </r>
    <r>
      <rPr>
        <sz val="12"/>
        <color theme="1"/>
        <rFont val="Calibri"/>
        <family val="2"/>
        <scheme val="minor"/>
      </rPr>
      <t xml:space="preserve"> based on inquiry file from HQ on 4/24/2020</t>
    </r>
  </si>
  <si>
    <t>POWER ISSUES</t>
  </si>
  <si>
    <t>OPS139</t>
  </si>
  <si>
    <t>1 Yr Extended Warranty:  IBflex Receiver</t>
  </si>
  <si>
    <t>Bring up to 2/4/2023</t>
  </si>
  <si>
    <t>OPR33</t>
  </si>
  <si>
    <t xml:space="preserve">Fixed Cost Repair:  IBflex Receiver </t>
  </si>
  <si>
    <t xml:space="preserve">Out of warranty repair </t>
  </si>
  <si>
    <t>CAM</t>
  </si>
  <si>
    <t>8190-2022</t>
  </si>
  <si>
    <t>08902A-E</t>
  </si>
  <si>
    <t>InfoVista</t>
  </si>
  <si>
    <t>300-3.8GHz (6GHz capable) base platform, FD-TE, WCDMA, BD 1,3,7,8,28, OP614-WD</t>
  </si>
  <si>
    <t>IBFLX-E-6000</t>
  </si>
  <si>
    <t>IBflex Extended Range License (10 MHz to 6 GHz capable)</t>
  </si>
  <si>
    <t>IBFLX-BD-77</t>
  </si>
  <si>
    <t xml:space="preserve">           Band 77 (3300-4200 MHz) [NR]</t>
  </si>
  <si>
    <t>8140-8017</t>
  </si>
  <si>
    <t>08900S</t>
  </si>
  <si>
    <t>Keysight</t>
  </si>
  <si>
    <r>
      <t>3.8GHz platform</t>
    </r>
    <r>
      <rPr>
        <sz val="12"/>
        <color rgb="FFFF0000"/>
        <rFont val="Calibri"/>
        <family val="2"/>
        <scheme val="minor"/>
      </rPr>
      <t xml:space="preserve"> super-config</t>
    </r>
    <r>
      <rPr>
        <sz val="12"/>
        <color theme="1"/>
        <rFont val="Calibri"/>
        <family val="2"/>
        <scheme val="minor"/>
      </rPr>
      <t>, LTE MIMO, Indoor kit</t>
    </r>
  </si>
  <si>
    <t>Up to 8/28/2022</t>
  </si>
  <si>
    <t>CAM/ENTELSO</t>
  </si>
  <si>
    <t>8180-9043</t>
  </si>
  <si>
    <t>08900S-E</t>
  </si>
  <si>
    <t>Vicom</t>
  </si>
  <si>
    <r>
      <t xml:space="preserve">300-3.8GHz (6GHz capable) </t>
    </r>
    <r>
      <rPr>
        <sz val="12"/>
        <color rgb="FFFF0000"/>
        <rFont val="Calibri"/>
        <family val="2"/>
        <scheme val="minor"/>
      </rPr>
      <t>super-config</t>
    </r>
    <r>
      <rPr>
        <sz val="12"/>
        <color theme="1"/>
        <rFont val="Calibri"/>
        <family val="2"/>
        <scheme val="minor"/>
      </rPr>
      <t>, SA, indoor kit</t>
    </r>
  </si>
  <si>
    <t>RFGT</t>
  </si>
  <si>
    <t xml:space="preserve">CAPABILITY </t>
  </si>
  <si>
    <t>OWNER</t>
  </si>
  <si>
    <t>COMMENTS</t>
  </si>
  <si>
    <t>5G</t>
  </si>
  <si>
    <t>GOING TO USE FOR CALIBRATION/REPAIR DATA PORT</t>
  </si>
  <si>
    <t>4G</t>
  </si>
  <si>
    <t>GOING TO USE FOR CALIBRATION/POWER ISSUES</t>
  </si>
  <si>
    <t>CALIBRATION REQUIRED/CAN BE UPGRADED TO 5G</t>
  </si>
  <si>
    <t>CALIBRATION REQUIRED/EXPENSIVE TO UPGRADE/ CURRENTLY WITH ENTELSO</t>
  </si>
  <si>
    <t>ENTELSO/CAM</t>
  </si>
  <si>
    <t>CALIBRATION REQUIRED WITH ENTELSO</t>
  </si>
  <si>
    <t>UNKNOW</t>
  </si>
  <si>
    <t>SCANNERS WT</t>
  </si>
  <si>
    <t>STATE</t>
  </si>
  <si>
    <t>BRAND</t>
  </si>
  <si>
    <t>SERIAL</t>
  </si>
  <si>
    <t>CALIBRATION DATE</t>
  </si>
  <si>
    <t>CALIBRATION DUE</t>
  </si>
  <si>
    <t>QLD</t>
  </si>
  <si>
    <t xml:space="preserve"> Ibflex</t>
  </si>
  <si>
    <t>VIC</t>
  </si>
  <si>
    <t>WA</t>
  </si>
  <si>
    <t>SA</t>
  </si>
  <si>
    <t>NSW</t>
  </si>
  <si>
    <t>Ibflex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</si>
</sst>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/mm/yyyy;@"/>
  </numFmts>
  <fonts count="8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69">
    <xf numFmtId="0" fontId="0" fillId="0" borderId="0" xfId="0"/>
    <xf numFmtId="49" fontId="3" fillId="0" borderId="2" xfId="1" applyNumberFormat="1" applyBorder="1" applyAlignment="1">
      <alignment horizontal="left" vertical="top"/>
    </xf>
    <xf numFmtId="17" fontId="3" fillId="0" borderId="2" xfId="1" applyNumberForma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49" fontId="3" fillId="3" borderId="2" xfId="1" applyNumberFormat="1" applyFill="1" applyBorder="1" applyAlignment="1">
      <alignment horizontal="left" vertical="top"/>
    </xf>
    <xf numFmtId="17" fontId="3" fillId="3" borderId="2" xfId="1" applyNumberFormat="1" applyFill="1" applyBorder="1" applyAlignment="1">
      <alignment horizontal="left" vertical="top" wrapText="1"/>
    </xf>
    <xf numFmtId="14" fontId="0" fillId="3" borderId="0" xfId="0" applyNumberFormat="1" applyFill="1" applyAlignment="1">
      <alignment horizontal="left" vertical="top"/>
    </xf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quotePrefix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0" fillId="3" borderId="0" xfId="0" applyFill="1"/>
    <xf numFmtId="164" fontId="0" fillId="0" borderId="0" xfId="0" applyNumberFormat="1"/>
    <xf numFmtId="164" fontId="2" fillId="0" borderId="0" xfId="0" applyNumberFormat="1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164" fontId="6" fillId="0" borderId="0" xfId="0" applyNumberFormat="1" applyFont="1"/>
    <xf numFmtId="164" fontId="0" fillId="3" borderId="0" xfId="0" applyNumberFormat="1" applyFill="1"/>
    <xf numFmtId="164" fontId="2" fillId="3" borderId="0" xfId="0" applyNumberFormat="1" applyFont="1" applyFill="1"/>
    <xf numFmtId="0" fontId="0" fillId="0" borderId="1" xfId="0" applyBorder="1"/>
    <xf numFmtId="0" fontId="2" fillId="3" borderId="3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left" vertical="top"/>
    </xf>
    <xf numFmtId="0" fontId="0" fillId="0" borderId="7" xfId="0" applyBorder="1"/>
    <xf numFmtId="0" fontId="0" fillId="0" borderId="6" xfId="0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0" borderId="9" xfId="0" applyBorder="1"/>
    <xf numFmtId="0" fontId="0" fillId="0" borderId="10" xfId="0" applyBorder="1"/>
    <xf numFmtId="165" fontId="0" fillId="0" borderId="0" xfId="0" applyNumberFormat="1"/>
    <xf numFmtId="0" fontId="0" fillId="0" borderId="1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1" fillId="0" borderId="7" xfId="0" applyFont="1" applyBorder="1"/>
    <xf numFmtId="0" fontId="0" fillId="5" borderId="6" xfId="0" applyFill="1" applyBorder="1" applyAlignment="1">
      <alignment horizontal="left" vertical="top"/>
    </xf>
    <xf numFmtId="0" fontId="0" fillId="5" borderId="1" xfId="0" applyFill="1" applyBorder="1"/>
    <xf numFmtId="0" fontId="0" fillId="5" borderId="7" xfId="0" applyFill="1" applyBorder="1"/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4" borderId="18" xfId="0" applyNumberFormat="1" applyFill="1" applyBorder="1" applyAlignment="1">
      <alignment horizontal="center" vertical="center"/>
    </xf>
    <xf numFmtId="165" fontId="0" fillId="6" borderId="18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22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543598B2-758D-48D6-A310-A7CA557DF1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4FA3-4B75-41C8-BCF7-ED9B2EC50963}">
  <dimension ref="A1:M48"/>
  <sheetViews>
    <sheetView topLeftCell="A31" zoomScale="70" zoomScaleNormal="70" workbookViewId="0">
      <selection activeCell="A29" sqref="A29"/>
    </sheetView>
  </sheetViews>
  <sheetFormatPr defaultColWidth="8.875" defaultRowHeight="15.6"/>
  <cols>
    <col min="1" max="1" width="13.125" style="7" bestFit="1" customWidth="1"/>
    <col min="2" max="2" width="14.625" style="7" bestFit="1" customWidth="1"/>
    <col min="3" max="3" width="9" style="7" bestFit="1" customWidth="1"/>
    <col min="4" max="4" width="7.125" style="7" bestFit="1" customWidth="1"/>
    <col min="5" max="5" width="32.125" style="8" customWidth="1"/>
    <col min="6" max="6" width="11.125" style="7" bestFit="1" customWidth="1"/>
    <col min="7" max="7" width="51.875" style="7" customWidth="1"/>
    <col min="9" max="9" width="20.375" bestFit="1" customWidth="1"/>
    <col min="10" max="10" width="10.125" customWidth="1"/>
    <col min="11" max="11" width="11.5" customWidth="1"/>
    <col min="13" max="13" width="13.125" bestFit="1" customWidth="1"/>
  </cols>
  <sheetData>
    <row r="1" spans="1:13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6"/>
      <c r="H1" s="14" t="s">
        <v>6</v>
      </c>
      <c r="I1" s="14" t="s">
        <v>7</v>
      </c>
      <c r="J1" s="14" t="s">
        <v>8</v>
      </c>
      <c r="K1" s="14" t="s">
        <v>9</v>
      </c>
      <c r="M1" s="14" t="s">
        <v>10</v>
      </c>
    </row>
    <row r="2" spans="1:13" ht="52.9">
      <c r="A2" s="16" t="s">
        <v>11</v>
      </c>
      <c r="B2" s="16" t="s">
        <v>12</v>
      </c>
      <c r="C2" s="16" t="s">
        <v>13</v>
      </c>
      <c r="D2" s="16">
        <v>223479</v>
      </c>
      <c r="E2" s="17" t="s">
        <v>14</v>
      </c>
      <c r="F2" s="18" t="s">
        <v>15</v>
      </c>
      <c r="G2" s="18" t="s">
        <v>16</v>
      </c>
      <c r="H2" s="28">
        <v>1</v>
      </c>
      <c r="I2" s="28" t="s">
        <v>17</v>
      </c>
      <c r="J2" s="35">
        <v>19609</v>
      </c>
      <c r="K2" s="35">
        <f>H2*J2</f>
        <v>19609</v>
      </c>
      <c r="M2" t="s">
        <v>18</v>
      </c>
    </row>
    <row r="3" spans="1:13">
      <c r="A3" s="14" t="s">
        <v>19</v>
      </c>
      <c r="B3" s="14" t="s">
        <v>20</v>
      </c>
      <c r="C3" s="16"/>
      <c r="D3" s="16"/>
      <c r="E3" s="17"/>
      <c r="F3" s="19" t="s">
        <v>21</v>
      </c>
      <c r="G3" s="20" t="s">
        <v>22</v>
      </c>
      <c r="H3" s="28">
        <v>1</v>
      </c>
      <c r="I3" s="28"/>
      <c r="J3" s="35">
        <v>13015</v>
      </c>
      <c r="K3" s="35">
        <f t="shared" ref="K3:K43" si="0">H3*J3</f>
        <v>13015</v>
      </c>
    </row>
    <row r="4" spans="1:13">
      <c r="A4" s="21">
        <v>44011</v>
      </c>
      <c r="B4" s="21">
        <v>45836</v>
      </c>
      <c r="C4" s="16"/>
      <c r="D4" s="16"/>
      <c r="E4" s="17"/>
      <c r="F4" s="19" t="s">
        <v>23</v>
      </c>
      <c r="G4" s="20" t="s">
        <v>24</v>
      </c>
      <c r="H4" s="28">
        <v>1</v>
      </c>
      <c r="I4" s="28" t="s">
        <v>25</v>
      </c>
      <c r="J4" s="35">
        <v>0</v>
      </c>
      <c r="K4" s="35">
        <f t="shared" si="0"/>
        <v>0</v>
      </c>
    </row>
    <row r="5" spans="1:13" ht="15.75" customHeight="1">
      <c r="A5" s="16"/>
      <c r="B5" s="16"/>
      <c r="C5" s="16"/>
      <c r="D5" s="16"/>
      <c r="E5" s="17"/>
      <c r="F5" s="22" t="s">
        <v>26</v>
      </c>
      <c r="G5" s="18" t="s">
        <v>27</v>
      </c>
      <c r="H5" s="28">
        <v>1</v>
      </c>
      <c r="I5" s="28"/>
      <c r="J5" s="35">
        <v>169</v>
      </c>
      <c r="K5" s="35">
        <f t="shared" si="0"/>
        <v>169</v>
      </c>
    </row>
    <row r="6" spans="1:13">
      <c r="A6" s="16"/>
      <c r="B6" s="16"/>
      <c r="C6" s="16"/>
      <c r="D6" s="16"/>
      <c r="E6" s="17"/>
      <c r="F6" s="22" t="s">
        <v>28</v>
      </c>
      <c r="G6" s="18" t="s">
        <v>29</v>
      </c>
      <c r="H6" s="28">
        <v>1</v>
      </c>
      <c r="I6" s="28"/>
      <c r="J6" s="35">
        <v>1843</v>
      </c>
      <c r="K6" s="35">
        <f t="shared" si="0"/>
        <v>1843</v>
      </c>
    </row>
    <row r="7" spans="1:13">
      <c r="J7" s="29"/>
      <c r="K7" s="30">
        <f>SUM(K2:K6)</f>
        <v>34636</v>
      </c>
    </row>
    <row r="8" spans="1:13">
      <c r="J8" s="29"/>
      <c r="K8" s="30"/>
    </row>
    <row r="9" spans="1:13">
      <c r="A9" s="11" t="s">
        <v>0</v>
      </c>
      <c r="B9" s="11" t="s">
        <v>1</v>
      </c>
      <c r="C9" s="11" t="s">
        <v>2</v>
      </c>
      <c r="D9" s="11" t="s">
        <v>3</v>
      </c>
      <c r="E9" s="12" t="s">
        <v>4</v>
      </c>
      <c r="F9" s="11" t="s">
        <v>5</v>
      </c>
      <c r="H9" s="13" t="s">
        <v>6</v>
      </c>
      <c r="I9" s="13" t="s">
        <v>7</v>
      </c>
      <c r="J9" s="30" t="s">
        <v>8</v>
      </c>
      <c r="K9" s="30" t="s">
        <v>9</v>
      </c>
      <c r="M9" t="s">
        <v>30</v>
      </c>
    </row>
    <row r="10" spans="1:13" ht="52.9">
      <c r="A10" s="7" t="s">
        <v>31</v>
      </c>
      <c r="B10" s="7" t="s">
        <v>32</v>
      </c>
      <c r="C10" s="7" t="s">
        <v>33</v>
      </c>
      <c r="D10" s="7">
        <v>213530</v>
      </c>
      <c r="E10" s="8" t="s">
        <v>34</v>
      </c>
      <c r="F10" s="4" t="s">
        <v>15</v>
      </c>
      <c r="G10" s="4" t="s">
        <v>16</v>
      </c>
      <c r="H10">
        <v>1</v>
      </c>
      <c r="I10" t="s">
        <v>17</v>
      </c>
      <c r="J10" s="29">
        <v>19609</v>
      </c>
      <c r="K10" s="29">
        <f t="shared" si="0"/>
        <v>19609</v>
      </c>
      <c r="M10" t="s">
        <v>35</v>
      </c>
    </row>
    <row r="11" spans="1:13">
      <c r="A11" s="11" t="s">
        <v>19</v>
      </c>
      <c r="B11" s="11" t="s">
        <v>20</v>
      </c>
      <c r="F11" s="1" t="s">
        <v>21</v>
      </c>
      <c r="G11" s="2" t="s">
        <v>22</v>
      </c>
      <c r="H11">
        <v>1</v>
      </c>
      <c r="J11" s="29">
        <v>13015</v>
      </c>
      <c r="K11" s="29">
        <f t="shared" si="0"/>
        <v>13015</v>
      </c>
    </row>
    <row r="12" spans="1:13">
      <c r="A12" s="9">
        <v>42040</v>
      </c>
      <c r="B12" s="10">
        <v>43865</v>
      </c>
      <c r="F12" s="1" t="s">
        <v>23</v>
      </c>
      <c r="G12" s="2" t="s">
        <v>24</v>
      </c>
      <c r="H12">
        <v>1</v>
      </c>
      <c r="I12" t="s">
        <v>25</v>
      </c>
      <c r="J12" s="29">
        <v>0</v>
      </c>
      <c r="K12" s="29">
        <f t="shared" si="0"/>
        <v>0</v>
      </c>
    </row>
    <row r="13" spans="1:13" ht="14.25" customHeight="1">
      <c r="F13" s="3" t="s">
        <v>26</v>
      </c>
      <c r="G13" s="4" t="s">
        <v>27</v>
      </c>
      <c r="H13">
        <v>1</v>
      </c>
      <c r="J13" s="29">
        <v>169</v>
      </c>
      <c r="K13" s="29">
        <f t="shared" si="0"/>
        <v>169</v>
      </c>
    </row>
    <row r="14" spans="1:13">
      <c r="F14" s="26" t="s">
        <v>36</v>
      </c>
      <c r="G14" s="27" t="s">
        <v>37</v>
      </c>
      <c r="H14">
        <v>3</v>
      </c>
      <c r="I14" t="s">
        <v>38</v>
      </c>
      <c r="J14" s="29">
        <v>1911</v>
      </c>
      <c r="K14" s="29">
        <f t="shared" si="0"/>
        <v>5733</v>
      </c>
    </row>
    <row r="15" spans="1:13">
      <c r="F15" s="3" t="s">
        <v>28</v>
      </c>
      <c r="G15" s="4" t="s">
        <v>29</v>
      </c>
      <c r="H15">
        <v>1</v>
      </c>
      <c r="J15" s="29">
        <v>1843</v>
      </c>
      <c r="K15" s="29">
        <f t="shared" si="0"/>
        <v>1843</v>
      </c>
    </row>
    <row r="16" spans="1:13">
      <c r="F16" s="5" t="s">
        <v>39</v>
      </c>
      <c r="G16" s="6" t="s">
        <v>40</v>
      </c>
      <c r="H16">
        <v>1</v>
      </c>
      <c r="I16" t="s">
        <v>41</v>
      </c>
      <c r="J16" s="29">
        <v>2955</v>
      </c>
      <c r="K16" s="29">
        <f t="shared" si="0"/>
        <v>2955</v>
      </c>
    </row>
    <row r="17" spans="1:13">
      <c r="J17" s="29"/>
      <c r="K17" s="30">
        <f>SUM(K10:K16)</f>
        <v>43324</v>
      </c>
    </row>
    <row r="18" spans="1:13">
      <c r="J18" s="29"/>
      <c r="K18" s="30"/>
    </row>
    <row r="19" spans="1:13">
      <c r="A19" s="14" t="s">
        <v>0</v>
      </c>
      <c r="B19" s="14" t="s">
        <v>1</v>
      </c>
      <c r="C19" s="14" t="s">
        <v>2</v>
      </c>
      <c r="D19" s="14" t="s">
        <v>3</v>
      </c>
      <c r="E19" s="15" t="s">
        <v>4</v>
      </c>
      <c r="F19" s="14" t="s">
        <v>5</v>
      </c>
      <c r="G19" s="16"/>
      <c r="H19" s="14" t="s">
        <v>6</v>
      </c>
      <c r="I19" s="14" t="s">
        <v>7</v>
      </c>
      <c r="J19" s="36" t="s">
        <v>8</v>
      </c>
      <c r="K19" s="36" t="s">
        <v>9</v>
      </c>
      <c r="M19" t="s">
        <v>42</v>
      </c>
    </row>
    <row r="20" spans="1:13" ht="46.9">
      <c r="A20" s="16" t="s">
        <v>43</v>
      </c>
      <c r="B20" s="16" t="s">
        <v>44</v>
      </c>
      <c r="C20" s="16" t="s">
        <v>45</v>
      </c>
      <c r="D20" s="16">
        <v>221731</v>
      </c>
      <c r="E20" s="17" t="s">
        <v>46</v>
      </c>
      <c r="F20" s="23" t="s">
        <v>47</v>
      </c>
      <c r="G20" s="22" t="s">
        <v>48</v>
      </c>
      <c r="H20" s="28">
        <v>1</v>
      </c>
      <c r="I20" s="28"/>
      <c r="J20" s="35">
        <v>5160</v>
      </c>
      <c r="K20" s="35">
        <f t="shared" si="0"/>
        <v>5160</v>
      </c>
    </row>
    <row r="21" spans="1:13">
      <c r="A21" s="14" t="s">
        <v>19</v>
      </c>
      <c r="B21" s="14" t="s">
        <v>20</v>
      </c>
      <c r="C21" s="16"/>
      <c r="D21" s="16"/>
      <c r="E21" s="17"/>
      <c r="F21" s="19" t="s">
        <v>21</v>
      </c>
      <c r="G21" s="20" t="s">
        <v>22</v>
      </c>
      <c r="H21" s="28">
        <v>1</v>
      </c>
      <c r="I21" s="28"/>
      <c r="J21" s="35">
        <v>13015</v>
      </c>
      <c r="K21" s="35">
        <f t="shared" si="0"/>
        <v>13015</v>
      </c>
    </row>
    <row r="22" spans="1:13">
      <c r="A22" s="21">
        <v>43545</v>
      </c>
      <c r="B22" s="21">
        <v>45371</v>
      </c>
      <c r="C22" s="16"/>
      <c r="D22" s="16"/>
      <c r="E22" s="17"/>
      <c r="F22" s="24" t="s">
        <v>49</v>
      </c>
      <c r="G22" s="25" t="s">
        <v>50</v>
      </c>
      <c r="H22" s="28">
        <v>1</v>
      </c>
      <c r="I22" s="28"/>
      <c r="J22" s="35">
        <v>1985</v>
      </c>
      <c r="K22" s="35">
        <f t="shared" si="0"/>
        <v>1985</v>
      </c>
    </row>
    <row r="23" spans="1:13">
      <c r="A23" s="16"/>
      <c r="B23" s="16"/>
      <c r="C23" s="16"/>
      <c r="D23" s="16"/>
      <c r="E23" s="17"/>
      <c r="F23" s="19" t="s">
        <v>23</v>
      </c>
      <c r="G23" s="20" t="s">
        <v>24</v>
      </c>
      <c r="H23" s="28">
        <v>1</v>
      </c>
      <c r="I23" s="28" t="s">
        <v>25</v>
      </c>
      <c r="J23" s="35">
        <v>0</v>
      </c>
      <c r="K23" s="35">
        <f t="shared" si="0"/>
        <v>0</v>
      </c>
    </row>
    <row r="24" spans="1:13" ht="18.75" customHeight="1">
      <c r="A24" s="16"/>
      <c r="B24" s="16"/>
      <c r="C24" s="16"/>
      <c r="D24" s="16"/>
      <c r="E24" s="17"/>
      <c r="F24" s="22" t="s">
        <v>26</v>
      </c>
      <c r="G24" s="18" t="s">
        <v>27</v>
      </c>
      <c r="H24" s="28">
        <v>1</v>
      </c>
      <c r="I24" s="28"/>
      <c r="J24" s="35">
        <v>169</v>
      </c>
      <c r="K24" s="35">
        <f t="shared" si="0"/>
        <v>169</v>
      </c>
    </row>
    <row r="25" spans="1:13">
      <c r="A25" s="16"/>
      <c r="B25" s="16"/>
      <c r="C25" s="16"/>
      <c r="D25" s="16"/>
      <c r="E25" s="17"/>
      <c r="F25" s="22" t="s">
        <v>28</v>
      </c>
      <c r="G25" s="18" t="s">
        <v>29</v>
      </c>
      <c r="H25" s="28">
        <v>1</v>
      </c>
      <c r="I25" s="28"/>
      <c r="J25" s="35">
        <v>1843</v>
      </c>
      <c r="K25" s="35">
        <f t="shared" si="0"/>
        <v>1843</v>
      </c>
    </row>
    <row r="26" spans="1:13">
      <c r="J26" s="29"/>
      <c r="K26" s="30">
        <f>SUM(K20:K25)</f>
        <v>22172</v>
      </c>
    </row>
    <row r="27" spans="1:13">
      <c r="J27" s="29"/>
      <c r="K27" s="30"/>
    </row>
    <row r="28" spans="1:13">
      <c r="A28" s="11" t="s">
        <v>0</v>
      </c>
      <c r="B28" s="11" t="s">
        <v>1</v>
      </c>
      <c r="C28" s="11" t="s">
        <v>2</v>
      </c>
      <c r="D28" s="11" t="s">
        <v>3</v>
      </c>
      <c r="E28" s="12" t="s">
        <v>4</v>
      </c>
      <c r="F28" s="11" t="s">
        <v>5</v>
      </c>
      <c r="H28" s="13" t="s">
        <v>6</v>
      </c>
      <c r="I28" s="13" t="s">
        <v>7</v>
      </c>
      <c r="J28" s="30" t="s">
        <v>8</v>
      </c>
      <c r="K28" s="30" t="s">
        <v>9</v>
      </c>
    </row>
    <row r="29" spans="1:13" ht="52.9">
      <c r="A29" s="7" t="s">
        <v>51</v>
      </c>
      <c r="B29" s="7" t="s">
        <v>52</v>
      </c>
      <c r="C29" s="7" t="s">
        <v>53</v>
      </c>
      <c r="D29" s="7">
        <v>212615</v>
      </c>
      <c r="E29" s="8" t="s">
        <v>54</v>
      </c>
      <c r="F29" s="4" t="s">
        <v>15</v>
      </c>
      <c r="G29" s="4" t="s">
        <v>16</v>
      </c>
      <c r="H29">
        <v>1</v>
      </c>
      <c r="J29" s="29">
        <v>19609</v>
      </c>
      <c r="K29" s="29">
        <f t="shared" si="0"/>
        <v>19609</v>
      </c>
      <c r="M29" t="s">
        <v>42</v>
      </c>
    </row>
    <row r="30" spans="1:13">
      <c r="A30" s="11" t="s">
        <v>19</v>
      </c>
      <c r="B30" s="11" t="s">
        <v>20</v>
      </c>
      <c r="F30" s="1" t="s">
        <v>21</v>
      </c>
      <c r="G30" s="2" t="s">
        <v>22</v>
      </c>
      <c r="H30">
        <v>1</v>
      </c>
      <c r="J30" s="29">
        <v>13015</v>
      </c>
      <c r="K30" s="29">
        <f t="shared" si="0"/>
        <v>13015</v>
      </c>
    </row>
    <row r="31" spans="1:13">
      <c r="A31" s="9">
        <v>41880</v>
      </c>
      <c r="B31" s="10">
        <v>43705</v>
      </c>
      <c r="F31" s="1" t="s">
        <v>23</v>
      </c>
      <c r="G31" s="2" t="s">
        <v>24</v>
      </c>
      <c r="H31">
        <v>1</v>
      </c>
      <c r="I31" t="s">
        <v>25</v>
      </c>
      <c r="J31" s="29">
        <v>0</v>
      </c>
      <c r="K31" s="29">
        <f t="shared" si="0"/>
        <v>0</v>
      </c>
    </row>
    <row r="32" spans="1:13" ht="17.25" customHeight="1">
      <c r="F32" s="3" t="s">
        <v>26</v>
      </c>
      <c r="G32" s="4" t="s">
        <v>27</v>
      </c>
      <c r="H32">
        <v>2</v>
      </c>
      <c r="J32" s="29">
        <v>169</v>
      </c>
      <c r="K32" s="29">
        <f t="shared" si="0"/>
        <v>338</v>
      </c>
    </row>
    <row r="33" spans="1:13">
      <c r="F33" s="26" t="s">
        <v>36</v>
      </c>
      <c r="G33" s="27" t="s">
        <v>37</v>
      </c>
      <c r="H33">
        <v>3</v>
      </c>
      <c r="I33" t="s">
        <v>55</v>
      </c>
      <c r="J33" s="29">
        <v>1911</v>
      </c>
      <c r="K33" s="29">
        <f t="shared" si="0"/>
        <v>5733</v>
      </c>
    </row>
    <row r="34" spans="1:13">
      <c r="F34" s="3" t="s">
        <v>28</v>
      </c>
      <c r="G34" s="4" t="s">
        <v>29</v>
      </c>
      <c r="H34">
        <v>1</v>
      </c>
      <c r="J34" s="29">
        <v>1843</v>
      </c>
      <c r="K34" s="29">
        <f t="shared" si="0"/>
        <v>1843</v>
      </c>
    </row>
    <row r="35" spans="1:13">
      <c r="F35" s="5" t="s">
        <v>39</v>
      </c>
      <c r="G35" s="6" t="s">
        <v>40</v>
      </c>
      <c r="H35">
        <v>1</v>
      </c>
      <c r="I35" t="s">
        <v>41</v>
      </c>
      <c r="J35" s="29">
        <v>2955</v>
      </c>
      <c r="K35" s="29">
        <f t="shared" si="0"/>
        <v>2955</v>
      </c>
    </row>
    <row r="36" spans="1:13">
      <c r="J36" s="29"/>
      <c r="K36" s="30">
        <f>SUM(K29:K35)</f>
        <v>43493</v>
      </c>
    </row>
    <row r="37" spans="1:13">
      <c r="J37" s="29"/>
      <c r="K37" s="30"/>
    </row>
    <row r="38" spans="1:13" s="13" customFormat="1">
      <c r="A38" s="14" t="s">
        <v>0</v>
      </c>
      <c r="B38" s="14" t="s">
        <v>1</v>
      </c>
      <c r="C38" s="14" t="s">
        <v>2</v>
      </c>
      <c r="D38" s="14" t="s">
        <v>3</v>
      </c>
      <c r="E38" s="15" t="s">
        <v>4</v>
      </c>
      <c r="F38" s="14" t="s">
        <v>5</v>
      </c>
      <c r="G38" s="14"/>
      <c r="H38" s="14" t="s">
        <v>6</v>
      </c>
      <c r="I38" s="14" t="s">
        <v>7</v>
      </c>
      <c r="J38" s="36" t="s">
        <v>8</v>
      </c>
      <c r="K38" s="36" t="s">
        <v>9</v>
      </c>
      <c r="M38" s="13" t="s">
        <v>56</v>
      </c>
    </row>
    <row r="39" spans="1:13" ht="31.15">
      <c r="A39" s="16" t="s">
        <v>57</v>
      </c>
      <c r="B39" s="16" t="s">
        <v>58</v>
      </c>
      <c r="C39" s="16" t="s">
        <v>59</v>
      </c>
      <c r="D39" s="16">
        <v>221288</v>
      </c>
      <c r="E39" s="17" t="s">
        <v>60</v>
      </c>
      <c r="F39" s="23" t="s">
        <v>47</v>
      </c>
      <c r="G39" s="22" t="s">
        <v>48</v>
      </c>
      <c r="H39" s="28">
        <v>1</v>
      </c>
      <c r="I39" s="28"/>
      <c r="J39" s="35">
        <v>5160</v>
      </c>
      <c r="K39" s="35">
        <f t="shared" si="0"/>
        <v>5160</v>
      </c>
    </row>
    <row r="40" spans="1:13">
      <c r="A40" s="14" t="s">
        <v>19</v>
      </c>
      <c r="B40" s="14" t="s">
        <v>20</v>
      </c>
      <c r="C40" s="16"/>
      <c r="D40" s="16"/>
      <c r="E40" s="17"/>
      <c r="F40" s="19" t="s">
        <v>21</v>
      </c>
      <c r="G40" s="20" t="s">
        <v>22</v>
      </c>
      <c r="H40" s="28">
        <v>1</v>
      </c>
      <c r="I40" s="28"/>
      <c r="J40" s="35">
        <v>13015</v>
      </c>
      <c r="K40" s="35">
        <f t="shared" si="0"/>
        <v>13015</v>
      </c>
    </row>
    <row r="41" spans="1:13">
      <c r="A41" s="21">
        <v>43418</v>
      </c>
      <c r="B41" s="21">
        <v>45243</v>
      </c>
      <c r="C41" s="16"/>
      <c r="D41" s="16"/>
      <c r="E41" s="17"/>
      <c r="F41" s="19" t="s">
        <v>23</v>
      </c>
      <c r="G41" s="20" t="s">
        <v>24</v>
      </c>
      <c r="H41" s="28">
        <v>1</v>
      </c>
      <c r="I41" s="28" t="s">
        <v>25</v>
      </c>
      <c r="J41" s="35">
        <v>0</v>
      </c>
      <c r="K41" s="35">
        <f t="shared" si="0"/>
        <v>0</v>
      </c>
    </row>
    <row r="42" spans="1:13" ht="15.75" customHeight="1">
      <c r="A42" s="16"/>
      <c r="B42" s="16"/>
      <c r="C42" s="16"/>
      <c r="D42" s="16"/>
      <c r="E42" s="17"/>
      <c r="F42" s="22" t="s">
        <v>26</v>
      </c>
      <c r="G42" s="18" t="s">
        <v>27</v>
      </c>
      <c r="H42" s="28">
        <v>1</v>
      </c>
      <c r="I42" s="28"/>
      <c r="J42" s="35">
        <v>169</v>
      </c>
      <c r="K42" s="35">
        <f t="shared" si="0"/>
        <v>169</v>
      </c>
    </row>
    <row r="43" spans="1:13">
      <c r="A43" s="16"/>
      <c r="B43" s="16"/>
      <c r="C43" s="16"/>
      <c r="D43" s="16"/>
      <c r="E43" s="17"/>
      <c r="F43" s="22" t="s">
        <v>28</v>
      </c>
      <c r="G43" s="18" t="s">
        <v>29</v>
      </c>
      <c r="H43" s="28">
        <v>1</v>
      </c>
      <c r="I43" s="28"/>
      <c r="J43" s="35">
        <v>1843</v>
      </c>
      <c r="K43" s="35">
        <f t="shared" si="0"/>
        <v>1843</v>
      </c>
    </row>
    <row r="44" spans="1:13" s="13" customFormat="1">
      <c r="A44" s="11"/>
      <c r="B44" s="11"/>
      <c r="C44" s="11"/>
      <c r="D44" s="11"/>
      <c r="E44" s="12"/>
      <c r="F44" s="11"/>
      <c r="G44" s="11"/>
      <c r="J44" s="30"/>
      <c r="K44" s="30">
        <f>SUM(K39:K43)</f>
        <v>20187</v>
      </c>
    </row>
    <row r="45" spans="1:13">
      <c r="J45" s="29"/>
      <c r="K45" s="29"/>
    </row>
    <row r="46" spans="1:13" s="33" customFormat="1" ht="18">
      <c r="A46" s="31"/>
      <c r="B46" s="31"/>
      <c r="C46" s="31"/>
      <c r="D46" s="31"/>
      <c r="E46" s="32"/>
      <c r="F46" s="31"/>
      <c r="G46" s="31"/>
      <c r="J46" s="34"/>
      <c r="K46" s="34">
        <f>K44+K36+K26+K17+K7</f>
        <v>163812</v>
      </c>
    </row>
    <row r="48" spans="1:13">
      <c r="M48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9E43-FA87-4F79-9661-553CC277B402}">
  <dimension ref="A1:D7"/>
  <sheetViews>
    <sheetView workbookViewId="0">
      <selection activeCell="D18" sqref="D18"/>
    </sheetView>
  </sheetViews>
  <sheetFormatPr defaultColWidth="8.875" defaultRowHeight="15.6"/>
  <cols>
    <col min="1" max="1" width="9.125" bestFit="1" customWidth="1"/>
    <col min="2" max="2" width="13.125" customWidth="1"/>
    <col min="3" max="3" width="12.625" bestFit="1" customWidth="1"/>
    <col min="4" max="4" width="65.375" bestFit="1" customWidth="1"/>
  </cols>
  <sheetData>
    <row r="1" spans="1:4">
      <c r="A1" s="38" t="s">
        <v>0</v>
      </c>
      <c r="B1" s="39" t="s">
        <v>62</v>
      </c>
      <c r="C1" s="39" t="s">
        <v>63</v>
      </c>
      <c r="D1" s="40" t="s">
        <v>64</v>
      </c>
    </row>
    <row r="2" spans="1:4">
      <c r="A2" s="41" t="s">
        <v>11</v>
      </c>
      <c r="B2" s="37" t="s">
        <v>65</v>
      </c>
      <c r="C2" s="37" t="s">
        <v>30</v>
      </c>
      <c r="D2" s="42" t="s">
        <v>66</v>
      </c>
    </row>
    <row r="3" spans="1:4">
      <c r="A3" s="43" t="s">
        <v>31</v>
      </c>
      <c r="B3" s="37" t="s">
        <v>67</v>
      </c>
      <c r="C3" s="37" t="s">
        <v>30</v>
      </c>
      <c r="D3" s="50" t="s">
        <v>68</v>
      </c>
    </row>
    <row r="4" spans="1:4">
      <c r="A4" s="41" t="s">
        <v>43</v>
      </c>
      <c r="B4" s="37" t="s">
        <v>67</v>
      </c>
      <c r="C4" s="37" t="s">
        <v>42</v>
      </c>
      <c r="D4" s="42" t="s">
        <v>69</v>
      </c>
    </row>
    <row r="5" spans="1:4">
      <c r="A5" s="51" t="s">
        <v>51</v>
      </c>
      <c r="B5" s="52" t="s">
        <v>67</v>
      </c>
      <c r="C5" s="52" t="s">
        <v>42</v>
      </c>
      <c r="D5" s="53" t="s">
        <v>70</v>
      </c>
    </row>
    <row r="6" spans="1:4">
      <c r="A6" s="41" t="s">
        <v>57</v>
      </c>
      <c r="B6" s="37" t="s">
        <v>65</v>
      </c>
      <c r="C6" s="37" t="s">
        <v>71</v>
      </c>
      <c r="D6" s="42" t="s">
        <v>72</v>
      </c>
    </row>
    <row r="7" spans="1:4" ht="16.149999999999999" thickBot="1">
      <c r="A7" s="44">
        <v>41203054</v>
      </c>
      <c r="B7" s="45" t="s">
        <v>67</v>
      </c>
      <c r="C7" s="45" t="s">
        <v>42</v>
      </c>
      <c r="D7" s="46" t="s">
        <v>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1738-2C8F-4A8F-8682-231D591AF966}">
  <dimension ref="B2:F16"/>
  <sheetViews>
    <sheetView tabSelected="1" workbookViewId="0">
      <selection activeCell="F6" sqref="F6:F9"/>
    </sheetView>
  </sheetViews>
  <sheetFormatPr defaultColWidth="10.625" defaultRowHeight="15.6"/>
  <cols>
    <col min="1" max="1" width="5.125" customWidth="1"/>
    <col min="4" max="4" width="11.5" bestFit="1" customWidth="1"/>
    <col min="5" max="5" width="17.125" style="47" bestFit="1" customWidth="1"/>
    <col min="6" max="6" width="18.625" bestFit="1" customWidth="1"/>
  </cols>
  <sheetData>
    <row r="2" spans="2:6" ht="15.75"/>
    <row r="3" spans="2:6" ht="18.75">
      <c r="B3" s="54" t="s">
        <v>74</v>
      </c>
      <c r="C3" s="55"/>
      <c r="D3" s="55"/>
      <c r="E3" s="55"/>
      <c r="F3" s="56"/>
    </row>
    <row r="4" spans="2:6" ht="15.75">
      <c r="B4" s="57" t="s">
        <v>75</v>
      </c>
      <c r="C4" s="48" t="s">
        <v>76</v>
      </c>
      <c r="D4" s="48" t="s">
        <v>77</v>
      </c>
      <c r="E4" s="49" t="s">
        <v>78</v>
      </c>
      <c r="F4" s="58" t="s">
        <v>79</v>
      </c>
    </row>
    <row r="5" spans="2:6" ht="15.75" hidden="1">
      <c r="B5" s="59" t="s">
        <v>80</v>
      </c>
      <c r="C5" s="60" t="s">
        <v>81</v>
      </c>
      <c r="D5" s="60" t="s">
        <v>31</v>
      </c>
      <c r="E5" s="61">
        <v>43943</v>
      </c>
      <c r="F5" s="62">
        <v>44673</v>
      </c>
    </row>
    <row r="6" spans="2:6" ht="15.75">
      <c r="B6" s="59" t="s">
        <v>82</v>
      </c>
      <c r="C6" s="60" t="s">
        <v>81</v>
      </c>
      <c r="D6" s="60" t="s">
        <v>51</v>
      </c>
      <c r="E6" s="61">
        <v>45685</v>
      </c>
      <c r="F6" s="67">
        <v>46050</v>
      </c>
    </row>
    <row r="7" spans="2:6" ht="15.75" hidden="1">
      <c r="B7" s="59" t="s">
        <v>83</v>
      </c>
      <c r="C7" s="60" t="s">
        <v>81</v>
      </c>
      <c r="D7" s="60" t="s">
        <v>43</v>
      </c>
      <c r="E7" s="61">
        <v>43544</v>
      </c>
      <c r="F7" s="63">
        <v>44275</v>
      </c>
    </row>
    <row r="8" spans="2:6" ht="15.75" hidden="1">
      <c r="B8" s="59" t="s">
        <v>84</v>
      </c>
      <c r="C8" s="60" t="s">
        <v>81</v>
      </c>
      <c r="D8" s="60" t="s">
        <v>11</v>
      </c>
      <c r="E8" s="61">
        <v>43966</v>
      </c>
      <c r="F8" s="63">
        <v>44696</v>
      </c>
    </row>
    <row r="9" spans="2:6" ht="15.75">
      <c r="B9" s="64" t="s">
        <v>85</v>
      </c>
      <c r="C9" s="65" t="s">
        <v>86</v>
      </c>
      <c r="D9" s="65" t="s">
        <v>43</v>
      </c>
      <c r="E9" s="66">
        <v>45548</v>
      </c>
      <c r="F9" s="68">
        <v>45913</v>
      </c>
    </row>
    <row r="10" spans="2:6" ht="15.75">
      <c r="F10" s="47"/>
    </row>
    <row r="11" spans="2:6">
      <c r="F11" s="47"/>
    </row>
    <row r="12" spans="2:6">
      <c r="F12" s="47"/>
    </row>
    <row r="13" spans="2:6">
      <c r="F13" s="47"/>
    </row>
    <row r="14" spans="2:6">
      <c r="F14" s="47"/>
    </row>
    <row r="15" spans="2:6">
      <c r="F15" s="47"/>
    </row>
    <row r="16" spans="2:6">
      <c r="F16" s="47"/>
    </row>
  </sheetData>
  <mergeCells count="1">
    <mergeCell ref="B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6397b7746a480e242d408b00a7a8df4c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1c2466c2325059c4f1f2fc4f173ebc44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Props1.xml><?xml version="1.0" encoding="utf-8"?>
<ds:datastoreItem xmlns:ds="http://schemas.openxmlformats.org/officeDocument/2006/customXml" ds:itemID="{37DF9CBD-C369-4C59-8D56-9F837171ED5F}"/>
</file>

<file path=customXml/itemProps2.xml><?xml version="1.0" encoding="utf-8"?>
<ds:datastoreItem xmlns:ds="http://schemas.openxmlformats.org/officeDocument/2006/customXml" ds:itemID="{65707905-89C5-4E7C-9AA4-B4F157D1E09F}"/>
</file>

<file path=customXml/itemProps3.xml><?xml version="1.0" encoding="utf-8"?>
<ds:datastoreItem xmlns:ds="http://schemas.openxmlformats.org/officeDocument/2006/customXml" ds:itemID="{31C975CE-B183-445D-89BE-60E189D1EE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Gordon</dc:creator>
  <cp:keywords/>
  <dc:description/>
  <cp:lastModifiedBy>Sandra Vargas, Entelso Pty</cp:lastModifiedBy>
  <cp:revision/>
  <dcterms:created xsi:type="dcterms:W3CDTF">2022-05-19T06:31:17Z</dcterms:created>
  <dcterms:modified xsi:type="dcterms:W3CDTF">2026-04-09T23:41:08Z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  <property fmtid="{D5CDD505-2E9C-101B-9397-08002B2CF9AE}" pid="3" name="MediaServiceImageTags">
    <vt:lpwstr/>
  </property>
</Properties>
</file>